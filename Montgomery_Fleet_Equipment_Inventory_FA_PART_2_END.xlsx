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esb\Desktop\Python\"/>
    </mc:Choice>
  </mc:AlternateContent>
  <xr:revisionPtr revIDLastSave="0" documentId="13_ncr:1_{64CAFC6C-6D18-4F26-B027-756A446900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7" i="1" l="1"/>
  <c r="B56" i="1"/>
  <c r="B55" i="1"/>
  <c r="B54" i="1"/>
  <c r="B53" i="1"/>
</calcChain>
</file>

<file path=xl/sharedStrings.xml><?xml version="1.0" encoding="utf-8"?>
<sst xmlns="http://schemas.openxmlformats.org/spreadsheetml/2006/main" count="197" uniqueCount="39">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</sst>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7N2" refreshedDate="46296.468663194442" createdVersion="7" refreshedVersion="7" minRefreshableVersion="3" recordCount="49" xr:uid="{FB3EADFC-C4D4-4133-8E09-B1A01237AD06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690B9-67B1-4287-BFF1-3BC88275CE5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F1C8A-F995-4CD8-A117-B353EE48B022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D0AD1-0830-47B1-8E89-8484C31F62D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:E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02B914-B750-44BF-8672-9584094AA9F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FA5E7-FA3D-47CD-9E4C-DFA8662D36CA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:E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AC4B70-98FC-4134-8EB3-55373962A5AD}" name="Table1" displayName="Table1" ref="A1:C50" totalsRowShown="0">
  <autoFilter ref="A1:C50" xr:uid="{69AC4B70-98FC-4134-8EB3-55373962A5AD}"/>
  <tableColumns count="3">
    <tableColumn id="1" xr3:uid="{C42EE488-FA3A-4CE7-AC97-3FC818563F8A}" name="Department"/>
    <tableColumn id="2" xr3:uid="{4CF4C089-462D-405B-8885-208225349CFA}" name="Equipment Class"/>
    <tableColumn id="3" xr3:uid="{009F400F-0186-490D-9F71-9AE79958BB71}" name="Equipment Count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BEF459-2BCD-4E82-8765-87622E8DBCD0}" name="Table2" displayName="Table2" ref="A52:B57" totalsRowShown="0">
  <autoFilter ref="A52:B57" xr:uid="{1ABEF459-2BCD-4E82-8765-87622E8DBCD0}"/>
  <tableColumns count="2">
    <tableColumn id="1" xr3:uid="{F2E38290-75C3-49AA-89CE-E07440245791}" name="Column1"/>
    <tableColumn id="2" xr3:uid="{533A1F8E-1724-4129-8DE1-1B92E3FE1524}" name="Column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topLeftCell="A34" workbookViewId="0">
      <selection activeCell="C55" sqref="C55"/>
    </sheetView>
  </sheetViews>
  <sheetFormatPr defaultRowHeight="14.4" x14ac:dyDescent="0.3"/>
  <cols>
    <col min="1" max="1" width="26.88671875" bestFit="1" customWidth="1"/>
    <col min="2" max="2" width="24.109375" bestFit="1" customWidth="1"/>
    <col min="3" max="3" width="1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2" spans="1:3" x14ac:dyDescent="0.3">
      <c r="A52" t="s">
        <v>37</v>
      </c>
      <c r="B52" t="s">
        <v>38</v>
      </c>
    </row>
    <row r="53" spans="1:3" x14ac:dyDescent="0.3">
      <c r="A53" t="s">
        <v>29</v>
      </c>
      <c r="B53">
        <f>SUM(Table1[Equipment Count])</f>
        <v>1582</v>
      </c>
    </row>
    <row r="54" spans="1:3" x14ac:dyDescent="0.3">
      <c r="A54" t="s">
        <v>30</v>
      </c>
      <c r="B54">
        <f>AVERAGE(Table1[Equipment Count])</f>
        <v>32.285714285714285</v>
      </c>
    </row>
    <row r="55" spans="1:3" x14ac:dyDescent="0.3">
      <c r="A55" t="s">
        <v>31</v>
      </c>
      <c r="B55">
        <f>MIN(Table1[Equipment Count])</f>
        <v>1</v>
      </c>
    </row>
    <row r="56" spans="1:3" x14ac:dyDescent="0.3">
      <c r="A56" t="s">
        <v>32</v>
      </c>
      <c r="B56">
        <f>MAX(Table1[Equipment Count])</f>
        <v>379</v>
      </c>
    </row>
    <row r="57" spans="1:3" x14ac:dyDescent="0.3">
      <c r="A57" t="s">
        <v>33</v>
      </c>
      <c r="B57">
        <f>COUNT(Table1[Equipment Count])</f>
        <v>49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0CB4-0996-4C6F-8DB6-560EEA13AD52}">
  <dimension ref="A3:B16"/>
  <sheetViews>
    <sheetView workbookViewId="0">
      <selection activeCell="C20" sqref="C20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 s="3">
        <v>1221</v>
      </c>
    </row>
    <row r="5" spans="1:2" x14ac:dyDescent="0.3">
      <c r="A5" s="2" t="s">
        <v>15</v>
      </c>
      <c r="B5" s="3">
        <v>109</v>
      </c>
    </row>
    <row r="6" spans="1:2" x14ac:dyDescent="0.3">
      <c r="A6" s="2" t="s">
        <v>19</v>
      </c>
      <c r="B6" s="3">
        <v>85</v>
      </c>
    </row>
    <row r="7" spans="1:2" x14ac:dyDescent="0.3">
      <c r="A7" s="2" t="s">
        <v>12</v>
      </c>
      <c r="B7" s="3">
        <v>56</v>
      </c>
    </row>
    <row r="8" spans="1:2" x14ac:dyDescent="0.3">
      <c r="A8" s="2" t="s">
        <v>5</v>
      </c>
      <c r="B8" s="3">
        <v>45</v>
      </c>
    </row>
    <row r="9" spans="1:2" x14ac:dyDescent="0.3">
      <c r="A9" s="2" t="s">
        <v>18</v>
      </c>
      <c r="B9" s="3">
        <v>35</v>
      </c>
    </row>
    <row r="10" spans="1:2" x14ac:dyDescent="0.3">
      <c r="A10" s="2" t="s">
        <v>25</v>
      </c>
      <c r="B10" s="3">
        <v>16</v>
      </c>
    </row>
    <row r="11" spans="1:2" x14ac:dyDescent="0.3">
      <c r="A11" s="2" t="s">
        <v>9</v>
      </c>
      <c r="B11" s="3">
        <v>6</v>
      </c>
    </row>
    <row r="12" spans="1:2" x14ac:dyDescent="0.3">
      <c r="A12" s="2" t="s">
        <v>24</v>
      </c>
      <c r="B12" s="3">
        <v>5</v>
      </c>
    </row>
    <row r="13" spans="1:2" x14ac:dyDescent="0.3">
      <c r="A13" s="2" t="s">
        <v>8</v>
      </c>
      <c r="B13" s="3">
        <v>2</v>
      </c>
    </row>
    <row r="14" spans="1:2" x14ac:dyDescent="0.3">
      <c r="A14" s="2" t="s">
        <v>14</v>
      </c>
      <c r="B14" s="3">
        <v>1</v>
      </c>
    </row>
    <row r="15" spans="1:2" x14ac:dyDescent="0.3">
      <c r="A15" s="2" t="s">
        <v>17</v>
      </c>
      <c r="B15" s="3">
        <v>1</v>
      </c>
    </row>
    <row r="16" spans="1:2" x14ac:dyDescent="0.3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F7FD-90B7-4A69-9060-42477B22E50F}">
  <dimension ref="A3:E25"/>
  <sheetViews>
    <sheetView workbookViewId="0">
      <selection activeCell="A3" sqref="A3:B16"/>
    </sheetView>
  </sheetViews>
  <sheetFormatPr defaultRowHeight="14.4" x14ac:dyDescent="0.3"/>
  <cols>
    <col min="1" max="1" width="26.88671875" bestFit="1" customWidth="1"/>
    <col min="2" max="2" width="22.5546875" bestFit="1" customWidth="1"/>
    <col min="4" max="4" width="30.109375" bestFit="1" customWidth="1"/>
    <col min="5" max="5" width="22.5546875" bestFit="1" customWidth="1"/>
  </cols>
  <sheetData>
    <row r="3" spans="1:5" x14ac:dyDescent="0.3">
      <c r="A3" s="1" t="s">
        <v>34</v>
      </c>
      <c r="B3" t="s">
        <v>36</v>
      </c>
      <c r="D3" s="1" t="s">
        <v>34</v>
      </c>
      <c r="E3" t="s">
        <v>36</v>
      </c>
    </row>
    <row r="4" spans="1:5" x14ac:dyDescent="0.3">
      <c r="A4" s="2" t="s">
        <v>26</v>
      </c>
      <c r="B4" s="3">
        <v>1221</v>
      </c>
      <c r="D4" s="2" t="s">
        <v>26</v>
      </c>
      <c r="E4" s="3">
        <v>1221</v>
      </c>
    </row>
    <row r="5" spans="1:5" x14ac:dyDescent="0.3">
      <c r="A5" s="2" t="s">
        <v>15</v>
      </c>
      <c r="B5" s="3">
        <v>109</v>
      </c>
      <c r="D5" s="4" t="s">
        <v>16</v>
      </c>
      <c r="E5" s="3">
        <v>5</v>
      </c>
    </row>
    <row r="6" spans="1:5" x14ac:dyDescent="0.3">
      <c r="A6" s="2" t="s">
        <v>19</v>
      </c>
      <c r="B6" s="3">
        <v>85</v>
      </c>
      <c r="D6" s="4" t="s">
        <v>13</v>
      </c>
      <c r="E6" s="3">
        <v>248</v>
      </c>
    </row>
    <row r="7" spans="1:5" x14ac:dyDescent="0.3">
      <c r="A7" s="2" t="s">
        <v>12</v>
      </c>
      <c r="B7" s="3">
        <v>56</v>
      </c>
      <c r="D7" s="4" t="s">
        <v>11</v>
      </c>
      <c r="E7" s="3">
        <v>98</v>
      </c>
    </row>
    <row r="8" spans="1:5" x14ac:dyDescent="0.3">
      <c r="A8" s="2" t="s">
        <v>5</v>
      </c>
      <c r="B8" s="3">
        <v>45</v>
      </c>
      <c r="D8" s="4" t="s">
        <v>28</v>
      </c>
      <c r="E8" s="3">
        <v>276</v>
      </c>
    </row>
    <row r="9" spans="1:5" x14ac:dyDescent="0.3">
      <c r="A9" s="2" t="s">
        <v>18</v>
      </c>
      <c r="B9" s="3">
        <v>35</v>
      </c>
      <c r="D9" s="4" t="s">
        <v>6</v>
      </c>
      <c r="E9" s="3">
        <v>93</v>
      </c>
    </row>
    <row r="10" spans="1:5" x14ac:dyDescent="0.3">
      <c r="A10" s="2" t="s">
        <v>25</v>
      </c>
      <c r="B10" s="3">
        <v>16</v>
      </c>
      <c r="D10" s="4" t="s">
        <v>4</v>
      </c>
      <c r="E10" s="3">
        <v>37</v>
      </c>
    </row>
    <row r="11" spans="1:5" x14ac:dyDescent="0.3">
      <c r="A11" s="2" t="s">
        <v>9</v>
      </c>
      <c r="B11" s="3">
        <v>6</v>
      </c>
      <c r="D11" s="4" t="s">
        <v>7</v>
      </c>
      <c r="E11" s="3">
        <v>53</v>
      </c>
    </row>
    <row r="12" spans="1:5" x14ac:dyDescent="0.3">
      <c r="A12" s="2" t="s">
        <v>24</v>
      </c>
      <c r="B12" s="3">
        <v>5</v>
      </c>
      <c r="D12" s="4" t="s">
        <v>27</v>
      </c>
      <c r="E12" s="3">
        <v>379</v>
      </c>
    </row>
    <row r="13" spans="1:5" x14ac:dyDescent="0.3">
      <c r="A13" s="2" t="s">
        <v>8</v>
      </c>
      <c r="B13" s="3">
        <v>2</v>
      </c>
      <c r="D13" s="4" t="s">
        <v>10</v>
      </c>
      <c r="E13" s="3">
        <v>32</v>
      </c>
    </row>
    <row r="14" spans="1:5" x14ac:dyDescent="0.3">
      <c r="A14" s="2" t="s">
        <v>14</v>
      </c>
      <c r="B14" s="3">
        <v>1</v>
      </c>
      <c r="D14" s="2" t="s">
        <v>15</v>
      </c>
      <c r="E14" s="3">
        <v>109</v>
      </c>
    </row>
    <row r="15" spans="1:5" x14ac:dyDescent="0.3">
      <c r="A15" s="2" t="s">
        <v>17</v>
      </c>
      <c r="B15" s="3">
        <v>1</v>
      </c>
      <c r="D15" s="2" t="s">
        <v>19</v>
      </c>
      <c r="E15" s="3">
        <v>85</v>
      </c>
    </row>
    <row r="16" spans="1:5" x14ac:dyDescent="0.3">
      <c r="A16" s="2" t="s">
        <v>35</v>
      </c>
      <c r="B16" s="3">
        <v>1582</v>
      </c>
      <c r="D16" s="2" t="s">
        <v>12</v>
      </c>
      <c r="E16" s="3">
        <v>56</v>
      </c>
    </row>
    <row r="17" spans="4:5" x14ac:dyDescent="0.3">
      <c r="D17" s="2" t="s">
        <v>5</v>
      </c>
      <c r="E17" s="3">
        <v>45</v>
      </c>
    </row>
    <row r="18" spans="4:5" x14ac:dyDescent="0.3">
      <c r="D18" s="2" t="s">
        <v>18</v>
      </c>
      <c r="E18" s="3">
        <v>35</v>
      </c>
    </row>
    <row r="19" spans="4:5" x14ac:dyDescent="0.3">
      <c r="D19" s="2" t="s">
        <v>25</v>
      </c>
      <c r="E19" s="3">
        <v>16</v>
      </c>
    </row>
    <row r="20" spans="4:5" x14ac:dyDescent="0.3">
      <c r="D20" s="2" t="s">
        <v>9</v>
      </c>
      <c r="E20" s="3">
        <v>6</v>
      </c>
    </row>
    <row r="21" spans="4:5" x14ac:dyDescent="0.3">
      <c r="D21" s="2" t="s">
        <v>24</v>
      </c>
      <c r="E21" s="3">
        <v>5</v>
      </c>
    </row>
    <row r="22" spans="4:5" x14ac:dyDescent="0.3">
      <c r="D22" s="2" t="s">
        <v>8</v>
      </c>
      <c r="E22" s="3">
        <v>2</v>
      </c>
    </row>
    <row r="23" spans="4:5" x14ac:dyDescent="0.3">
      <c r="D23" s="2" t="s">
        <v>14</v>
      </c>
      <c r="E23" s="3">
        <v>1</v>
      </c>
    </row>
    <row r="24" spans="4:5" x14ac:dyDescent="0.3">
      <c r="D24" s="2" t="s">
        <v>17</v>
      </c>
      <c r="E24" s="3">
        <v>1</v>
      </c>
    </row>
    <row r="25" spans="4:5" x14ac:dyDescent="0.3">
      <c r="D25" s="2" t="s">
        <v>35</v>
      </c>
      <c r="E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40A8-7C3D-4BC0-AED3-565EFD06BE46}">
  <dimension ref="A3:E21"/>
  <sheetViews>
    <sheetView workbookViewId="0">
      <selection activeCell="F19" sqref="F19"/>
    </sheetView>
  </sheetViews>
  <sheetFormatPr defaultRowHeight="14.4" x14ac:dyDescent="0.3"/>
  <cols>
    <col min="1" max="1" width="26.88671875" bestFit="1" customWidth="1"/>
    <col min="2" max="2" width="22.5546875" bestFit="1" customWidth="1"/>
    <col min="4" max="4" width="27" bestFit="1" customWidth="1"/>
    <col min="5" max="5" width="22.5546875" bestFit="1" customWidth="1"/>
  </cols>
  <sheetData>
    <row r="3" spans="1:5" x14ac:dyDescent="0.3">
      <c r="A3" s="1" t="s">
        <v>34</v>
      </c>
      <c r="B3" t="s">
        <v>36</v>
      </c>
      <c r="D3" s="1" t="s">
        <v>34</v>
      </c>
      <c r="E3" t="s">
        <v>36</v>
      </c>
    </row>
    <row r="4" spans="1:5" x14ac:dyDescent="0.3">
      <c r="A4" s="2" t="s">
        <v>26</v>
      </c>
      <c r="B4" s="3">
        <v>1221</v>
      </c>
      <c r="D4" s="2" t="s">
        <v>16</v>
      </c>
      <c r="E4" s="3">
        <v>15</v>
      </c>
    </row>
    <row r="5" spans="1:5" x14ac:dyDescent="0.3">
      <c r="A5" s="2" t="s">
        <v>15</v>
      </c>
      <c r="B5" s="3">
        <v>109</v>
      </c>
      <c r="D5" s="4" t="s">
        <v>15</v>
      </c>
      <c r="E5" s="3">
        <v>9</v>
      </c>
    </row>
    <row r="6" spans="1:5" x14ac:dyDescent="0.3">
      <c r="A6" s="2" t="s">
        <v>19</v>
      </c>
      <c r="B6" s="3">
        <v>85</v>
      </c>
      <c r="D6" s="4" t="s">
        <v>26</v>
      </c>
      <c r="E6" s="3">
        <v>5</v>
      </c>
    </row>
    <row r="7" spans="1:5" x14ac:dyDescent="0.3">
      <c r="A7" s="2" t="s">
        <v>12</v>
      </c>
      <c r="B7" s="3">
        <v>56</v>
      </c>
      <c r="D7" s="4" t="s">
        <v>25</v>
      </c>
      <c r="E7" s="3">
        <v>1</v>
      </c>
    </row>
    <row r="8" spans="1:5" x14ac:dyDescent="0.3">
      <c r="A8" s="2" t="s">
        <v>5</v>
      </c>
      <c r="B8" s="3">
        <v>45</v>
      </c>
      <c r="D8" s="2" t="s">
        <v>13</v>
      </c>
      <c r="E8" s="3">
        <v>290</v>
      </c>
    </row>
    <row r="9" spans="1:5" x14ac:dyDescent="0.3">
      <c r="A9" s="2" t="s">
        <v>18</v>
      </c>
      <c r="B9" s="3">
        <v>35</v>
      </c>
      <c r="D9" s="2" t="s">
        <v>11</v>
      </c>
      <c r="E9" s="3">
        <v>100</v>
      </c>
    </row>
    <row r="10" spans="1:5" x14ac:dyDescent="0.3">
      <c r="A10" s="2" t="s">
        <v>25</v>
      </c>
      <c r="B10" s="3">
        <v>16</v>
      </c>
      <c r="D10" s="2" t="s">
        <v>28</v>
      </c>
      <c r="E10" s="3">
        <v>283</v>
      </c>
    </row>
    <row r="11" spans="1:5" x14ac:dyDescent="0.3">
      <c r="A11" s="2" t="s">
        <v>9</v>
      </c>
      <c r="B11" s="3">
        <v>6</v>
      </c>
      <c r="D11" s="2" t="s">
        <v>6</v>
      </c>
      <c r="E11" s="3">
        <v>150</v>
      </c>
    </row>
    <row r="12" spans="1:5" x14ac:dyDescent="0.3">
      <c r="A12" s="2" t="s">
        <v>24</v>
      </c>
      <c r="B12" s="3">
        <v>5</v>
      </c>
      <c r="D12" s="2" t="s">
        <v>21</v>
      </c>
      <c r="E12" s="3">
        <v>4</v>
      </c>
    </row>
    <row r="13" spans="1:5" x14ac:dyDescent="0.3">
      <c r="A13" s="2" t="s">
        <v>8</v>
      </c>
      <c r="B13" s="3">
        <v>2</v>
      </c>
      <c r="D13" s="2" t="s">
        <v>23</v>
      </c>
      <c r="E13" s="3">
        <v>1</v>
      </c>
    </row>
    <row r="14" spans="1:5" x14ac:dyDescent="0.3">
      <c r="A14" s="2" t="s">
        <v>14</v>
      </c>
      <c r="B14" s="3">
        <v>1</v>
      </c>
      <c r="D14" s="2" t="s">
        <v>22</v>
      </c>
      <c r="E14" s="3">
        <v>47</v>
      </c>
    </row>
    <row r="15" spans="1:5" x14ac:dyDescent="0.3">
      <c r="A15" s="2" t="s">
        <v>17</v>
      </c>
      <c r="B15" s="3">
        <v>1</v>
      </c>
      <c r="D15" s="2" t="s">
        <v>3</v>
      </c>
      <c r="E15" s="3">
        <v>20</v>
      </c>
    </row>
    <row r="16" spans="1:5" x14ac:dyDescent="0.3">
      <c r="A16" s="2" t="s">
        <v>35</v>
      </c>
      <c r="B16" s="3">
        <v>1582</v>
      </c>
      <c r="D16" s="2" t="s">
        <v>20</v>
      </c>
      <c r="E16" s="3">
        <v>8</v>
      </c>
    </row>
    <row r="17" spans="4:5" x14ac:dyDescent="0.3">
      <c r="D17" s="2" t="s">
        <v>4</v>
      </c>
      <c r="E17" s="3">
        <v>130</v>
      </c>
    </row>
    <row r="18" spans="4:5" x14ac:dyDescent="0.3">
      <c r="D18" s="2" t="s">
        <v>7</v>
      </c>
      <c r="E18" s="3">
        <v>90</v>
      </c>
    </row>
    <row r="19" spans="4:5" x14ac:dyDescent="0.3">
      <c r="D19" s="2" t="s">
        <v>27</v>
      </c>
      <c r="E19" s="3">
        <v>379</v>
      </c>
    </row>
    <row r="20" spans="4:5" x14ac:dyDescent="0.3">
      <c r="D20" s="2" t="s">
        <v>10</v>
      </c>
      <c r="E20" s="3">
        <v>65</v>
      </c>
    </row>
    <row r="21" spans="4:5" x14ac:dyDescent="0.3">
      <c r="D21" s="2" t="s">
        <v>35</v>
      </c>
      <c r="E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M7N2</dc:creator>
  <cp:lastModifiedBy>flesbepe@gmail.com</cp:lastModifiedBy>
  <dcterms:created xsi:type="dcterms:W3CDTF">2020-09-01T17:18:12Z</dcterms:created>
  <dcterms:modified xsi:type="dcterms:W3CDTF">2026-10-01T09:50:43Z</dcterms:modified>
</cp:coreProperties>
</file>